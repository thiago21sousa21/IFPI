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Auto de Infração" state="visible" r:id="rId4"/>
    <sheet sheetId="2" name="Dados" state="hidden" r:id="rId5"/>
  </sheets>
  <calcPr calcId="171027"/>
</workbook>
</file>

<file path=xl/sharedStrings.xml><?xml version="1.0" encoding="utf-8"?>
<sst xmlns="http://schemas.openxmlformats.org/spreadsheetml/2006/main" count="177" uniqueCount="157">
  <si>
    <t>AUTO DE INFRAÇÃO</t>
  </si>
  <si>
    <t>CÓDIGO</t>
  </si>
  <si>
    <t>PROCESSO SEI</t>
  </si>
  <si>
    <t>-</t>
  </si>
  <si>
    <t>00081. ___________ / 2025 - _____</t>
  </si>
  <si>
    <t>1-</t>
  </si>
  <si>
    <t>IDENTIFICAÇÃO (NOME COMPLETO)</t>
  </si>
  <si>
    <t>AFONSO DA CUNHA</t>
  </si>
  <si>
    <t>TÍTULO DO ESTABELECIMENTO (NOME FANTASIA)</t>
  </si>
  <si>
    <t>2-</t>
  </si>
  <si>
    <t>CPF</t>
  </si>
  <si>
    <t>CNPJ</t>
  </si>
  <si>
    <t>123.456.789-11</t>
  </si>
  <si>
    <t>3-</t>
  </si>
  <si>
    <t>ENDEREÇO DO AUTUADO</t>
  </si>
  <si>
    <t>LOG:</t>
  </si>
  <si>
    <t xml:space="preserve">,  - </t>
  </si>
  <si>
    <t>CEP:</t>
  </si>
  <si>
    <t>NÚMERO:</t>
  </si>
  <si>
    <t>BAIRRO:</t>
  </si>
  <si>
    <t>ZONA:</t>
  </si>
  <si>
    <t>4-</t>
  </si>
  <si>
    <t>TIPO DE INFRAÇÃO</t>
  </si>
  <si>
    <t>5-</t>
  </si>
  <si>
    <t>REINCIDENTE</t>
  </si>
  <si>
    <t>6-</t>
  </si>
  <si>
    <t>DATA</t>
  </si>
  <si>
    <t>7-</t>
  </si>
  <si>
    <t>HORA</t>
  </si>
  <si>
    <t>FLAGRANTE</t>
  </si>
  <si>
    <t>15/12/2025</t>
  </si>
  <si>
    <t>15:15</t>
  </si>
  <si>
    <t>8-</t>
  </si>
  <si>
    <t>LOCAL DA INFRAÇÃO</t>
  </si>
  <si>
    <t>PRAÇA DA BANDEIRA</t>
  </si>
  <si>
    <t>S/N</t>
  </si>
  <si>
    <t>CENTRO</t>
  </si>
  <si>
    <t>9-</t>
  </si>
  <si>
    <t>DESCRIÇÃO DO FATO</t>
  </si>
  <si>
    <t>PAPÉIS E/OU PAPELÕES DISPOSTOS EM LOCAL INAPROPRIADO</t>
  </si>
  <si>
    <t>RESÍDUOS DE MARCENARIA DISPOSTOS EM LOCAL INAPROPRIADO</t>
  </si>
  <si>
    <t>RESÍDUOS PLÁSTICOS DISPOSTOS EM LOCAL INAPROPRIADO</t>
  </si>
  <si>
    <t>RESÍDUOS VÍTREOS DISPOSTOS EM LOCAL INAPROPRIADO</t>
  </si>
  <si>
    <t>RESÍDUOS ORGÂNICOS DISPOSTOS EM LOCAL INAPROPRIADO</t>
  </si>
  <si>
    <t>RESÍDUOS HOSPITALARES DISPOSTOS EM LOCAL INAPROPRIADO</t>
  </si>
  <si>
    <t>RESÍDUOS DE OBRAS DISPOSTOS EM LOCAL INAPROPRIADO</t>
  </si>
  <si>
    <t>INCINERAÇÃO DE RESÍDUOS EM ÁREA URBANA</t>
  </si>
  <si>
    <t>PODAS DISPOSTAS EM LOCAL INAPROPRIADO</t>
  </si>
  <si>
    <t>DESCUMPRIMENTO TOTAL OU PARCIAL DE NOTIFICAÇÃO PRELIMINAR</t>
  </si>
  <si>
    <t>OUTROS:</t>
  </si>
  <si>
    <t>OBSERVAÇÕES:</t>
  </si>
  <si>
    <t>FLAGRANTE REALIZADO POR VIDEOMONITORAMENTO, VEÍCULO FORD FUSCA PRETO DE PLACA AAA-1234</t>
  </si>
  <si>
    <t>10-</t>
  </si>
  <si>
    <t>DISPOSITIVOS LEGAIS INFRINGIDOS</t>
  </si>
  <si>
    <t>11-</t>
  </si>
  <si>
    <t>CIRCUNSTÂNCIAS ATENUANTES (ART. 69, LEI 2.475/96)</t>
  </si>
  <si>
    <t>12-</t>
  </si>
  <si>
    <t>CIRCUNSTÂNCIAS AGRAVANTES (ART. 70, LEI 2.475/96)</t>
  </si>
  <si>
    <t>Menor grau de compreensão e escolaridade do infrator (I)</t>
  </si>
  <si>
    <t>Ser o infrator reincidente ou cometer a infração de forma continuada (I)</t>
  </si>
  <si>
    <t>Arrependimento eficaz do infrator, manifestado pela espontânea reparação do dano, ou limitação significativa de degradação ambiental causada (II)</t>
  </si>
  <si>
    <t>Ter o agente cometido a infração para obter vantagem pecuniária (II)</t>
  </si>
  <si>
    <t>O infrator coagir outrem para a execução material da infração (III)</t>
  </si>
  <si>
    <t>Comunicação prévia pelo infrator de perigo iminente de degradação ambiental as autoridades competentes (III)</t>
  </si>
  <si>
    <t>Ter a infração consequências danosas à saúde pública e ao meio ambiente (IV)</t>
  </si>
  <si>
    <t>Colaboração com os agentes encarregados da vigilância e do controle ambiental (IV)</t>
  </si>
  <si>
    <t>Se, tendo conhecimento de ato lesivo à saúde pública e ao meio ambiente, o infrator deixar de tomar as providências de sua alçada para evitá-lo (V)</t>
  </si>
  <si>
    <t>Ser o infrator primário e a falta cometida de natureza leve (V)</t>
  </si>
  <si>
    <t>A ocorrência de efeitos sobre propriedade alheia (VI)</t>
  </si>
  <si>
    <t>A infração atingir áreas sob proteção legal (VII)</t>
  </si>
  <si>
    <t>13-</t>
  </si>
  <si>
    <t>PENALIDADE, CONFORME AUTORIZAÇÃO LEGAL DO ARTIGO 79, INCISO II, LEI 2.475/96</t>
  </si>
  <si>
    <t>PROVIDENCIAR A IMEDIATA RETIRADA DO RESÍDUO E APLICAÇÃO DE MULTA NO VALOR DE R$:</t>
  </si>
  <si>
    <t>Leve (R$ 473,17)</t>
  </si>
  <si>
    <t>Grave (R$ 1.182,95)</t>
  </si>
  <si>
    <t>Muito Grave (R$ 2.365,89)</t>
  </si>
  <si>
    <t>Gravíssimo (R$ 4.731,76)</t>
  </si>
  <si>
    <t>14-</t>
  </si>
  <si>
    <t>IDENTIFICAÇÃO DA AUTORIDADE OU AGENTE AUTUADOR</t>
  </si>
  <si>
    <t>MATRÍCULA</t>
  </si>
  <si>
    <t>FISCAL DO PROGRAMA LIXO ZERO</t>
  </si>
  <si>
    <t>15-</t>
  </si>
  <si>
    <t>TERMO DE CIÊNCIA</t>
  </si>
  <si>
    <t>Recebi a 2ª via do presente AUTO e declaro estar notificado (a) e ciente que devo atender conforme especificado acima, a contar da presente data, as exigências do Poder Público Municipal e Cumprimento da Legislação em vigor.</t>
  </si>
  <si>
    <t>AUTUADO OU REPRESENTANTE LEGAL - RG / CPF:</t>
  </si>
  <si>
    <t>CERTIDÃO</t>
  </si>
  <si>
    <t>ASSINALE ESTA OPÇÃO CASO NÃO TENHA SIDO POSSÍVEL A ENTREGA DO REFERIDO AUTO DE INFRAÇÃO OU A PARTE AUTUADA TENHA SE RECUSADO A EXARAR A CIÊNCIA.</t>
  </si>
  <si>
    <r>
      <t xml:space="preserve">Após diversas tentativas, </t>
    </r>
    <r>
      <rPr>
        <b/>
        <color theme="1"/>
        <family val="2"/>
        <scheme val="minor"/>
        <sz val="10"/>
        <rFont val="Calibri"/>
      </rPr>
      <t>NÃO FOI POSSÍVEL</t>
    </r>
    <r>
      <rPr>
        <color theme="1"/>
        <family val="2"/>
        <scheme val="minor"/>
        <sz val="10"/>
        <rFont val="Calibri"/>
      </rPr>
      <t xml:space="preserve"> entregar o respectivo auto de infração à parte autuada e, consequentemente, exarar a sua ciência em razão dos fatos expostos a seguir:</t>
    </r>
  </si>
  <si>
    <t xml:space="preserve"> A parte autuada e/ou seu representante legal, sr(a). _____________________________________________________, negou-se a exarar a ciência do respectivo auto de infração;</t>
  </si>
  <si>
    <t xml:space="preserve"> Não foi possível localizar o endereço descrito no auto de infração.</t>
  </si>
  <si>
    <t xml:space="preserve"> O estabelecimento comercial não funciona mais no endereço descrito no auto de infração.</t>
  </si>
  <si>
    <t xml:space="preserve"> A parte autuada mudou-se do endereço descrito no auto de infração.</t>
  </si>
  <si>
    <t xml:space="preserve"> O autuado(a)/estabelecimento, reside ou funciona em outra cidade.</t>
  </si>
  <si>
    <t xml:space="preserve"> O local descrito no auto de infração possuía uma placa informando que o imóvel estava disponível para venda/aluguel, indicando que não há ocupantes na data da entrega.</t>
  </si>
  <si>
    <t xml:space="preserve"> Após três tentativas, o local descrito no auto de infração encontrava-se fechado. Foi deixado no endereço um informativo sobre o auto de infração, com os contatos do Programa Lixo Zero, mas não houve manifestação por parte do(a) autuado(a).</t>
  </si>
  <si>
    <t xml:space="preserve"> Outros:</t>
  </si>
  <si>
    <t>Sendo assim, em virtude da legislação vigente, subscrevo a presente certidão com a assinatura de duas testemunhas:</t>
  </si>
  <si>
    <t>Teresina, __________ de _____________________________de _____________.</t>
  </si>
  <si>
    <t>FISCAL</t>
  </si>
  <si>
    <t>TESTEMUNHA</t>
  </si>
  <si>
    <t>RG/CPF:</t>
  </si>
  <si>
    <t>Código</t>
  </si>
  <si>
    <t>Matrícula</t>
  </si>
  <si>
    <t>Nome</t>
  </si>
  <si>
    <t>12. CIRCUNSTÂNCIAS ATENUANTES (ART. 69, LEI 2.475/96)</t>
  </si>
  <si>
    <t>AIAN</t>
  </si>
  <si>
    <t>ANDREIA N. DA SILVA</t>
  </si>
  <si>
    <t>AITS</t>
  </si>
  <si>
    <t>THIAGO DE S. SANTOS</t>
  </si>
  <si>
    <t>13. CIRCUNSTÂNCIAS AGRAVANTES (ART. 70, LEI 2.475/96)</t>
  </si>
  <si>
    <t>AIWL</t>
  </si>
  <si>
    <t>014050</t>
  </si>
  <si>
    <t>WANDERSON LUIS M. SILVA</t>
  </si>
  <si>
    <t>AIMC</t>
  </si>
  <si>
    <t>MARIA DO SOCORRO S. CRUZ</t>
  </si>
  <si>
    <t>ZONAS</t>
  </si>
  <si>
    <t>SIM</t>
  </si>
  <si>
    <t>LESTE</t>
  </si>
  <si>
    <t>SEM ABORDAGEM</t>
  </si>
  <si>
    <t>NÃO</t>
  </si>
  <si>
    <t>NORTE</t>
  </si>
  <si>
    <t>SUDESTE</t>
  </si>
  <si>
    <t>SUL</t>
  </si>
  <si>
    <t>RURAL</t>
  </si>
  <si>
    <t>N/A</t>
  </si>
  <si>
    <t>Caput, Artigo 50 º, Lei 2475/96</t>
  </si>
  <si>
    <t>Art. 50 - A coleta, transporte, tratamento e disposição final do lixo urbano de qualquer espécie ou natureza, processar-se-á em condições que não tragam malefícios ou inconvenientes à saúde, ao bem-estar público ou ao meio ambiente.</t>
  </si>
  <si>
    <t>Inciso I, § 1º. Artigo 50 º, Lei 2475/96</t>
  </si>
  <si>
    <t>I - A deposição indiscriminada de lixo em locais inapropriados em áreas urbanas ou agrícolas;</t>
  </si>
  <si>
    <t>Inciso II, § 1º. Artigo 50 º, Lei 2475/96</t>
  </si>
  <si>
    <t>II - A incineração e a disposição final de lixo a céu aberto;</t>
  </si>
  <si>
    <t>Inciso III, § 1º. Artigo 50 º, Lei 2475/96</t>
  </si>
  <si>
    <t>III - A utilização de lixo "in natura " para alimentação de animais e adubção orgânica;</t>
  </si>
  <si>
    <t>Inciso IV, § 1º. Artigo 50 º, Lei 2475/96</t>
  </si>
  <si>
    <t>IV - O lançamento de lixo em água de superfície, sistema de drenagem de águas pluviais, poços, cacimba, áreas erodidas principalmente nas margens dos Rios Poti e Parnaíba, e nas lagoas;</t>
  </si>
  <si>
    <t>Inciso V, § 1º. Artigo 50 º, Lei 2475/96</t>
  </si>
  <si>
    <t>V - O assoreamento de fundo de vale e leito de rio através da colocação de lixo, entulhos e outros materiais.</t>
  </si>
  <si>
    <t>CAMERA</t>
  </si>
  <si>
    <t>BAIRRO</t>
  </si>
  <si>
    <t>ZONA</t>
  </si>
  <si>
    <t>LOCALIZAÇÃO</t>
  </si>
  <si>
    <t>REDENÇÃO</t>
  </si>
  <si>
    <t>RUA MINISTRO PEDRO BORGES COM RUA CEL. LUÍS FERRAZ E ZILDA ARNS</t>
  </si>
  <si>
    <t>CATARINA</t>
  </si>
  <si>
    <t>AV. MESTRE DEZINHO COM AV. CELSO PINHEIRO</t>
  </si>
  <si>
    <t>DISTRITO INDUSTRIAL</t>
  </si>
  <si>
    <t>RUA A ENTRE RUAS C E D</t>
  </si>
  <si>
    <t>SANTA ISABEL</t>
  </si>
  <si>
    <t>RUA JOÃO MARTINS DO RÊGO PRÓXIMO A RUA TRÊS</t>
  </si>
  <si>
    <t>CIDADE JARDIM</t>
  </si>
  <si>
    <t>AV. PRESIDENTE KENNEDY COM RUA SÃO ESPERANÇA</t>
  </si>
  <si>
    <t>PORTO DO CENTRO</t>
  </si>
  <si>
    <t>AV. DEP SEBASTIÃO LEAL PRÓXIMO A RUA NETUNO</t>
  </si>
  <si>
    <t>SÃO JOÃO</t>
  </si>
  <si>
    <t>AV. FERNANDO PIRES LEAL ENRE AV. DOS EXPEDICIONÁRIOS E RUA OITO</t>
  </si>
  <si>
    <t>SANTA LIA</t>
  </si>
  <si>
    <t>RUA PROFESSOR DIMAS SANTANA COM RUA JOSÉ TITO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</si>
</sst>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AI&quot;"/>
    <numFmt numFmtId="165" formatCode="000&quot;/2025&quot;"/>
    <numFmt numFmtId="166" formatCode="000&quot;.&quot;000&quot;.&quot;000&quot;-&quot;00"/>
    <numFmt numFmtId="167" formatCode="00&quot;.&quot;000&quot;.&quot;000&quot;/&quot;0000&quot;-&quot;00"/>
    <numFmt numFmtId="168" formatCode="00000-000"/>
    <numFmt numFmtId="169" formatCode="00&quot;/&quot;00&quot;/&quot;0000"/>
    <numFmt numFmtId="170" formatCode="00&quot;:&quot;00"/>
    <numFmt numFmtId="171" formatCode="00"/>
  </numFmts>
  <fonts count="18" x14ac:knownFonts="1">
    <font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theme="1"/>
      <family val="2"/>
      <sz val="12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10"/>
      <name val="Calibri"/>
    </font>
    <font>
      <color theme="1"/>
      <family val="2"/>
      <sz val="8"/>
      <name val="Calibri"/>
    </font>
    <font>
      <i/>
      <color theme="1"/>
      <family val="2"/>
      <sz val="8"/>
      <name val="Calibri"/>
    </font>
    <font>
      <i/>
      <family val="2"/>
      <sz val="8"/>
      <name val="Calibri"/>
    </font>
    <font>
      <family val="2"/>
      <sz val="8"/>
      <name val="Calibri"/>
    </font>
    <font>
      <family val="2"/>
      <sz val="11"/>
      <name val="Calibri"/>
    </font>
    <font>
      <b/>
      <i/>
      <color theme="1"/>
      <family val="2"/>
      <sz val="9"/>
      <name val="Calibri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165" fontId="5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2" xfId="0" applyNumberFormat="1" applyFont="1" applyBorder="1" applyAlignment="1" applyProtection="1">
      <alignment horizontal="center" vertical="center"/>
      <protection locked="0"/>
    </xf>
    <xf numFmtId="165" fontId="5" fillId="0" borderId="3" xfId="0" applyNumberFormat="1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>
      <alignment vertical="center"/>
    </xf>
    <xf numFmtId="0" fontId="1" fillId="0" borderId="2" xfId="0" applyFont="1" applyBorder="1"/>
    <xf numFmtId="164" fontId="6" fillId="0" borderId="2" xfId="0" applyNumberFormat="1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166" fontId="7" fillId="0" borderId="1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67" fontId="6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167" fontId="9" fillId="0" borderId="1" xfId="0" applyNumberFormat="1" applyFont="1" applyBorder="1" applyAlignment="1" applyProtection="1">
      <alignment horizontal="center" vertical="center"/>
      <protection locked="0"/>
    </xf>
    <xf numFmtId="167" fontId="9" fillId="0" borderId="2" xfId="0" applyNumberFormat="1" applyFont="1" applyBorder="1" applyAlignment="1" applyProtection="1">
      <alignment horizontal="center" vertical="center"/>
      <protection locked="0"/>
    </xf>
    <xf numFmtId="167" fontId="9" fillId="0" borderId="3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168" fontId="8" fillId="0" borderId="1" xfId="0" applyNumberFormat="1" applyFont="1" applyBorder="1" applyAlignment="1" applyProtection="1">
      <alignment horizontal="center" vertical="center"/>
      <protection locked="0"/>
    </xf>
    <xf numFmtId="168" fontId="8" fillId="0" borderId="2" xfId="0" applyNumberFormat="1" applyFont="1" applyBorder="1" applyAlignment="1" applyProtection="1">
      <alignment horizontal="center" vertical="center"/>
      <protection locked="0"/>
    </xf>
    <xf numFmtId="168" fontId="8" fillId="0" borderId="3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Protection="1">
      <protection locked="0"/>
    </xf>
    <xf numFmtId="0" fontId="10" fillId="0" borderId="12" xfId="0" applyFont="1" applyBorder="1" applyProtection="1">
      <protection locked="0"/>
    </xf>
    <xf numFmtId="0" fontId="1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7" fillId="0" borderId="1" xfId="0" applyNumberFormat="1" applyFont="1" applyBorder="1" applyAlignment="1" applyProtection="1">
      <alignment horizontal="center" vertical="center"/>
      <protection locked="0"/>
    </xf>
    <xf numFmtId="169" fontId="7" fillId="0" borderId="2" xfId="0" applyNumberFormat="1" applyFont="1" applyBorder="1" applyAlignment="1" applyProtection="1">
      <alignment horizontal="center" vertical="center"/>
      <protection locked="0"/>
    </xf>
    <xf numFmtId="169" fontId="7" fillId="0" borderId="3" xfId="0" applyNumberFormat="1" applyFont="1" applyBorder="1" applyAlignment="1" applyProtection="1">
      <alignment horizontal="center" vertical="center"/>
      <protection locked="0"/>
    </xf>
    <xf numFmtId="170" fontId="8" fillId="0" borderId="1" xfId="0" applyNumberFormat="1" applyFont="1" applyBorder="1" applyAlignment="1" applyProtection="1">
      <alignment horizontal="center" vertical="center"/>
      <protection locked="0"/>
    </xf>
    <xf numFmtId="170" fontId="8" fillId="0" borderId="2" xfId="0" applyNumberFormat="1" applyFont="1" applyBorder="1" applyAlignment="1" applyProtection="1">
      <alignment horizontal="center" vertical="center"/>
      <protection locked="0"/>
    </xf>
    <xf numFmtId="170" fontId="8" fillId="0" borderId="3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1" fillId="0" borderId="9" xfId="0" applyFont="1" applyBorder="1"/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0" xfId="0" applyFont="1"/>
    <xf numFmtId="0" fontId="6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18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18" xfId="0" applyFont="1" applyBorder="1" applyAlignment="1">
      <alignment horizontal="left" vertical="center" wrapText="1"/>
    </xf>
    <xf numFmtId="0" fontId="0" fillId="0" borderId="18" xfId="0" applyBorder="1"/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0" borderId="3" xfId="0" applyFont="1" applyBorder="1"/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8" xfId="0" applyFont="1" applyBorder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0" fontId="6" fillId="0" borderId="9" xfId="0" applyFont="1" applyBorder="1" applyAlignment="1">
      <alignment horizontal="centerContinuous" vertical="center"/>
    </xf>
    <xf numFmtId="0" fontId="6" fillId="0" borderId="1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Continuous" vertical="center"/>
    </xf>
    <xf numFmtId="0" fontId="1" fillId="0" borderId="9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3" fillId="0" borderId="5" xfId="0" applyFont="1" applyBorder="1" applyAlignment="1">
      <alignment horizontal="centerContinuous" vertical="center"/>
    </xf>
    <xf numFmtId="0" fontId="14" fillId="0" borderId="6" xfId="0" applyFont="1" applyBorder="1" applyAlignment="1">
      <alignment horizontal="centerContinuous" vertical="center"/>
    </xf>
    <xf numFmtId="0" fontId="1" fillId="0" borderId="6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4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4" fillId="0" borderId="6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" fillId="0" borderId="9" xfId="0" applyFont="1" applyBorder="1" applyAlignment="1">
      <alignment horizontal="centerContinuous"/>
    </xf>
    <xf numFmtId="0" fontId="14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Continuous" vertical="center"/>
    </xf>
    <xf numFmtId="0" fontId="17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b/>
        <i/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1" displayName="Tabela1" ref="B23:E31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CAMERA"/>
    <tableColumn id="2" name="BAIRRO"/>
    <tableColumn id="3" name="ZONA"/>
    <tableColumn id="4" name="LOCALIZA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1"/>
  <sheetViews>
    <sheetView workbookViewId="0" showRuler="0" showRowColHeaders="0" showGridLines="0" zoomScale="175" zoomScaleNormal="175">
      <selection activeCell="E26" sqref="E26"/>
    </sheetView>
  </sheetViews>
  <sheetFormatPr defaultRowHeight="11.25" outlineLevelRow="0" outlineLevelCol="0" x14ac:dyDescent="0.2" defaultColWidth="2" customHeight="1"/>
  <cols>
    <col min="1" max="34" width="2" style="1" customWidth="1"/>
    <col min="35" max="35" width="1.85546875" style="1" customWidth="1"/>
    <col min="36" max="40" width="2" style="1" customWidth="1"/>
    <col min="41" max="41" width="2.42578125" style="1" customWidth="1"/>
    <col min="42" max="50" width="2" style="1" customWidth="1"/>
    <col min="51" max="51" width="6.5703125" style="1" customWidth="1"/>
    <col min="52" max="52" width="2" style="1" customWidth="1"/>
    <col min="53" max="53" width="6.5703125" style="1" customWidth="1"/>
    <col min="54" max="16384" width="2" style="1" customWidth="1"/>
  </cols>
  <sheetData>
    <row r="1" ht="17.25" customHeight="1" spans="1:46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1.25" customHeight="1" spans="2:46" x14ac:dyDescent="0.25"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4" t="s">
        <v>2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ht="11.25" customHeight="1" spans="2:46" x14ac:dyDescent="0.25">
      <c r="B3" s="7"/>
      <c r="C3" s="8"/>
      <c r="D3" s="9"/>
      <c r="E3" s="10" t="s">
        <v>3</v>
      </c>
      <c r="F3" s="11"/>
      <c r="G3" s="12"/>
      <c r="H3" s="12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14" t="s">
        <v>4</v>
      </c>
      <c r="AH3" s="15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7"/>
    </row>
    <row r="4" ht="2.85" customHeight="1" spans="1:4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ht="11.25" customHeight="1" spans="1:46" x14ac:dyDescent="0.25">
      <c r="A5" s="18" t="s">
        <v>5</v>
      </c>
      <c r="B5" s="19" t="s">
        <v>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1"/>
    </row>
    <row r="6" ht="11.25" customHeight="1" spans="1:46" x14ac:dyDescent="0.25">
      <c r="A6" s="22"/>
      <c r="B6" s="23" t="s">
        <v>7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5"/>
      <c r="AT6" s="26"/>
    </row>
    <row r="7" ht="11.25" customHeight="1" spans="1:46" x14ac:dyDescent="0.25">
      <c r="A7" s="22"/>
      <c r="B7" s="6" t="s">
        <v>8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6"/>
    </row>
    <row r="8" ht="11.25" customHeight="1" spans="1:46" x14ac:dyDescent="0.25">
      <c r="A8" s="28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5"/>
      <c r="AT8" s="26"/>
    </row>
    <row r="9" ht="2.85" customHeight="1" spans="1:46" x14ac:dyDescent="0.25">
      <c r="A9" s="2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6"/>
    </row>
    <row r="10" ht="11.25" customHeight="1" spans="1:46" x14ac:dyDescent="0.25">
      <c r="A10" s="22" t="s">
        <v>9</v>
      </c>
      <c r="B10" s="6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AA10" s="27"/>
      <c r="AB10" s="27"/>
      <c r="AC10" s="27"/>
      <c r="AD10" s="27"/>
      <c r="AE10" s="27"/>
      <c r="AF10" s="27"/>
      <c r="AG10" s="27"/>
      <c r="AH10" s="6" t="s">
        <v>11</v>
      </c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6"/>
    </row>
    <row r="11" ht="11.25" customHeight="1" spans="1:46" x14ac:dyDescent="0.25">
      <c r="A11" s="28"/>
      <c r="B11" s="29" t="s">
        <v>12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1"/>
      <c r="N11" s="27"/>
      <c r="Z11" s="32"/>
      <c r="AA11" s="33"/>
      <c r="AB11" s="33"/>
      <c r="AC11" s="33"/>
      <c r="AD11" s="33"/>
      <c r="AE11" s="33"/>
      <c r="AF11" s="33"/>
      <c r="AG11" s="34"/>
      <c r="AH11" s="35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7"/>
      <c r="AT11" s="26"/>
    </row>
    <row r="12" ht="2.85" customHeight="1" spans="1:46" x14ac:dyDescent="0.25">
      <c r="A12" s="28"/>
      <c r="B12" s="27"/>
      <c r="C12" s="27"/>
      <c r="D12" s="27"/>
      <c r="E12" s="27"/>
      <c r="F12" s="27"/>
      <c r="G12" s="27"/>
      <c r="H12" s="27"/>
      <c r="I12" s="27"/>
      <c r="J12" s="27"/>
      <c r="K12" s="38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38"/>
      <c r="AB12" s="27"/>
      <c r="AC12" s="27"/>
      <c r="AD12" s="27"/>
      <c r="AE12" s="27"/>
      <c r="AF12" s="38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6"/>
    </row>
    <row r="13" ht="11.25" customHeight="1" spans="1:46" x14ac:dyDescent="0.25">
      <c r="A13" s="22" t="s">
        <v>13</v>
      </c>
      <c r="B13" s="6" t="s">
        <v>14</v>
      </c>
      <c r="C13" s="27"/>
      <c r="D13" s="27"/>
      <c r="E13" s="27"/>
      <c r="F13" s="27"/>
      <c r="G13" s="27"/>
      <c r="H13" s="27"/>
      <c r="I13" s="27"/>
      <c r="J13" s="27"/>
      <c r="K13" s="38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38"/>
      <c r="AB13" s="27"/>
      <c r="AC13" s="27"/>
      <c r="AD13" s="27"/>
      <c r="AE13" s="27"/>
      <c r="AF13" s="38"/>
      <c r="AG13" s="27"/>
      <c r="AH13" s="27"/>
      <c r="AI13" s="27"/>
      <c r="AJ13" s="27"/>
      <c r="AK13" s="39"/>
      <c r="AL13" s="40"/>
      <c r="AM13" s="40"/>
      <c r="AN13" s="40"/>
      <c r="AO13" s="40"/>
      <c r="AP13" s="40"/>
      <c r="AQ13" s="40"/>
      <c r="AR13" s="40"/>
      <c r="AS13" s="40"/>
      <c r="AT13" s="26"/>
    </row>
    <row r="14" ht="2.85" customHeight="1" spans="1:46" x14ac:dyDescent="0.25">
      <c r="A14" s="41"/>
      <c r="B14" s="6"/>
      <c r="C14" s="27"/>
      <c r="D14" s="27"/>
      <c r="E14" s="27"/>
      <c r="F14" s="27"/>
      <c r="G14" s="27"/>
      <c r="H14" s="27"/>
      <c r="I14" s="27"/>
      <c r="J14" s="27"/>
      <c r="K14" s="38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38"/>
      <c r="AB14" s="27"/>
      <c r="AC14" s="27"/>
      <c r="AD14" s="27"/>
      <c r="AE14" s="27"/>
      <c r="AF14" s="38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6"/>
    </row>
    <row r="15" ht="11.25" customHeight="1" spans="1:46" x14ac:dyDescent="0.25">
      <c r="A15" s="28"/>
      <c r="B15" s="42" t="s">
        <v>15</v>
      </c>
      <c r="C15" s="43"/>
      <c r="D15" s="23" t="s">
        <v>16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5"/>
      <c r="AI15" s="40"/>
      <c r="AJ15" s="33" t="s">
        <v>17</v>
      </c>
      <c r="AK15" s="40"/>
      <c r="AL15" s="46"/>
      <c r="AM15" s="47"/>
      <c r="AN15" s="47"/>
      <c r="AO15" s="47"/>
      <c r="AP15" s="47"/>
      <c r="AQ15" s="47"/>
      <c r="AR15" s="47"/>
      <c r="AS15" s="48"/>
      <c r="AT15" s="26"/>
    </row>
    <row r="16" ht="2.85" customHeight="1" spans="1:46" x14ac:dyDescent="0.25">
      <c r="A16" s="2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26"/>
    </row>
    <row r="17" ht="11.25" customHeight="1" spans="1:46" x14ac:dyDescent="0.25">
      <c r="A17" s="28"/>
      <c r="B17" s="42" t="s">
        <v>18</v>
      </c>
      <c r="C17" s="49"/>
      <c r="D17" s="43"/>
      <c r="E17" s="23"/>
      <c r="F17" s="44"/>
      <c r="G17" s="44"/>
      <c r="H17" s="44"/>
      <c r="I17" s="44"/>
      <c r="J17" s="45"/>
      <c r="K17" s="42" t="s">
        <v>19</v>
      </c>
      <c r="L17" s="49"/>
      <c r="M17" s="43"/>
      <c r="N17" s="23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5"/>
      <c r="AI17" s="27"/>
      <c r="AJ17" s="38" t="s">
        <v>20</v>
      </c>
      <c r="AK17" s="38"/>
      <c r="AL17" s="50"/>
      <c r="AM17" s="51"/>
      <c r="AN17" s="51"/>
      <c r="AO17" s="51"/>
      <c r="AP17" s="51"/>
      <c r="AQ17" s="51"/>
      <c r="AR17" s="51"/>
      <c r="AS17" s="52"/>
      <c r="AT17" s="26"/>
    </row>
    <row r="18" ht="2.85" customHeight="1" spans="1:46" x14ac:dyDescent="0.25">
      <c r="A18" s="2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6"/>
    </row>
    <row r="19" ht="11.25" customHeight="1" spans="1:46" x14ac:dyDescent="0.25">
      <c r="A19" s="18" t="s">
        <v>21</v>
      </c>
      <c r="B19" s="19" t="s">
        <v>22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53"/>
      <c r="O19" s="53"/>
      <c r="P19" s="20"/>
      <c r="Q19" s="54"/>
      <c r="R19" s="54" t="s">
        <v>23</v>
      </c>
      <c r="S19" s="19" t="s">
        <v>24</v>
      </c>
      <c r="T19" s="20"/>
      <c r="U19" s="20"/>
      <c r="V19" s="20"/>
      <c r="W19" s="53"/>
      <c r="X19" s="53"/>
      <c r="Y19" s="53"/>
      <c r="Z19" s="53"/>
      <c r="AA19" s="53"/>
      <c r="AB19" s="53"/>
      <c r="AC19" s="20"/>
      <c r="AD19" s="54" t="s">
        <v>25</v>
      </c>
      <c r="AE19" s="55" t="s">
        <v>26</v>
      </c>
      <c r="AF19" s="20"/>
      <c r="AG19" s="20"/>
      <c r="AH19" s="20"/>
      <c r="AI19" s="20"/>
      <c r="AJ19" s="20"/>
      <c r="AK19" s="20"/>
      <c r="AL19" s="53"/>
      <c r="AM19" s="53"/>
      <c r="AN19" s="20"/>
      <c r="AO19" s="54" t="s">
        <v>27</v>
      </c>
      <c r="AP19" s="19" t="s">
        <v>28</v>
      </c>
      <c r="AQ19" s="20"/>
      <c r="AR19" s="20"/>
      <c r="AS19" s="20"/>
      <c r="AT19" s="21"/>
    </row>
    <row r="20" ht="2.85" customHeight="1" spans="1:46" x14ac:dyDescent="0.25">
      <c r="A20" s="2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5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6"/>
    </row>
    <row r="21" ht="11.25" customHeight="1" spans="1:46" x14ac:dyDescent="0.25">
      <c r="A21" s="56"/>
      <c r="B21" s="57" t="s">
        <v>29</v>
      </c>
      <c r="C21" s="58"/>
      <c r="D21" s="58"/>
      <c r="E21" s="58"/>
      <c r="F21" s="58"/>
      <c r="G21" s="59"/>
      <c r="H21" s="27"/>
      <c r="I21" s="27"/>
      <c r="J21" s="27"/>
      <c r="K21" s="27"/>
      <c r="L21" s="27"/>
      <c r="M21" s="27"/>
      <c r="N21" s="27"/>
      <c r="O21" s="5"/>
      <c r="P21" s="5"/>
      <c r="Q21" s="5"/>
      <c r="R21" s="5"/>
      <c r="S21" s="60"/>
      <c r="T21" s="61"/>
      <c r="U21" s="61"/>
      <c r="V21" s="62"/>
      <c r="W21" s="27"/>
      <c r="X21" s="27"/>
      <c r="Y21" s="27"/>
      <c r="Z21" s="27"/>
      <c r="AA21" s="5"/>
      <c r="AB21" s="5"/>
      <c r="AC21" s="5"/>
      <c r="AD21" s="5"/>
      <c r="AE21" s="63" t="s">
        <v>30</v>
      </c>
      <c r="AF21" s="64"/>
      <c r="AG21" s="64"/>
      <c r="AH21" s="64"/>
      <c r="AI21" s="64"/>
      <c r="AJ21" s="64"/>
      <c r="AK21" s="64"/>
      <c r="AL21" s="64"/>
      <c r="AM21" s="64"/>
      <c r="AN21" s="65"/>
      <c r="AO21" s="33"/>
      <c r="AP21" s="66" t="s">
        <v>31</v>
      </c>
      <c r="AQ21" s="67"/>
      <c r="AR21" s="67"/>
      <c r="AS21" s="68"/>
      <c r="AT21" s="26"/>
    </row>
    <row r="22" ht="2.85" customHeight="1" spans="1:46" x14ac:dyDescent="0.25">
      <c r="A22" s="2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6"/>
    </row>
    <row r="23" ht="11.25" customHeight="1" spans="1:46" x14ac:dyDescent="0.25">
      <c r="A23" s="22" t="s">
        <v>32</v>
      </c>
      <c r="B23" s="6" t="s">
        <v>33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6"/>
    </row>
    <row r="24" ht="11.25" customHeight="1" spans="1:46" x14ac:dyDescent="0.25">
      <c r="A24" s="28"/>
      <c r="B24" s="42" t="s">
        <v>15</v>
      </c>
      <c r="C24" s="43"/>
      <c r="D24" s="23" t="s">
        <v>34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5"/>
      <c r="AT24" s="26"/>
    </row>
    <row r="25" ht="2.85" customHeight="1" spans="1:46" x14ac:dyDescent="0.25">
      <c r="A25" s="28"/>
      <c r="B25" s="38"/>
      <c r="C25" s="3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38"/>
      <c r="AM25" s="38"/>
      <c r="AN25" s="27"/>
      <c r="AO25" s="27"/>
      <c r="AP25" s="27"/>
      <c r="AQ25" s="27"/>
      <c r="AR25" s="27"/>
      <c r="AS25" s="27"/>
      <c r="AT25" s="26"/>
    </row>
    <row r="26" ht="11.25" customHeight="1" spans="1:46" x14ac:dyDescent="0.25">
      <c r="A26" s="28"/>
      <c r="B26" s="42" t="s">
        <v>18</v>
      </c>
      <c r="C26" s="49"/>
      <c r="D26" s="43"/>
      <c r="E26" s="23" t="s">
        <v>35</v>
      </c>
      <c r="F26" s="44"/>
      <c r="G26" s="44"/>
      <c r="H26" s="44"/>
      <c r="I26" s="44"/>
      <c r="J26" s="45"/>
      <c r="K26" s="42" t="s">
        <v>19</v>
      </c>
      <c r="L26" s="49"/>
      <c r="M26" s="43"/>
      <c r="N26" s="23" t="s">
        <v>36</v>
      </c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5"/>
      <c r="AI26" s="27"/>
      <c r="AJ26" s="38" t="s">
        <v>20</v>
      </c>
      <c r="AK26" s="38"/>
      <c r="AL26" s="50" t="s">
        <v>36</v>
      </c>
      <c r="AM26" s="51"/>
      <c r="AN26" s="51"/>
      <c r="AO26" s="51"/>
      <c r="AP26" s="51"/>
      <c r="AQ26" s="51"/>
      <c r="AR26" s="51"/>
      <c r="AS26" s="52"/>
      <c r="AT26" s="26"/>
    </row>
    <row r="27" ht="2.85" customHeight="1" spans="1:46" x14ac:dyDescent="0.25">
      <c r="A27" s="2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6"/>
    </row>
    <row r="28" ht="11.25" customHeight="1" spans="1:46" x14ac:dyDescent="0.25">
      <c r="A28" s="18" t="s">
        <v>37</v>
      </c>
      <c r="B28" s="19" t="s">
        <v>38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1"/>
    </row>
    <row r="29" ht="2.85" customHeight="1" spans="1:46" x14ac:dyDescent="0.25">
      <c r="A29" s="41"/>
      <c r="B29" s="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6"/>
    </row>
    <row r="30" ht="11.25" customHeight="1" spans="1:46" x14ac:dyDescent="0.25">
      <c r="A30" s="28"/>
      <c r="B30" s="69"/>
      <c r="C30" s="27" t="s">
        <v>39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5"/>
      <c r="V30" s="5"/>
      <c r="W30" s="5"/>
      <c r="X30" s="69"/>
      <c r="Y30" s="27" t="s">
        <v>40</v>
      </c>
      <c r="Z30" s="5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T30" s="70"/>
    </row>
    <row r="31" ht="2.85" customHeight="1" spans="1:46" x14ac:dyDescent="0.25">
      <c r="A31" s="2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5"/>
      <c r="V31" s="5"/>
      <c r="W31" s="5"/>
      <c r="X31" s="27"/>
      <c r="Y31" s="27"/>
      <c r="Z31" s="5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T31" s="70"/>
    </row>
    <row r="32" ht="11.25" customHeight="1" spans="1:46" x14ac:dyDescent="0.25">
      <c r="A32" s="28"/>
      <c r="B32" s="69"/>
      <c r="C32" s="27" t="s">
        <v>41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5"/>
      <c r="V32" s="5"/>
      <c r="W32" s="5"/>
      <c r="X32" s="69"/>
      <c r="Y32" s="27" t="s">
        <v>42</v>
      </c>
      <c r="Z32" s="5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T32" s="70"/>
    </row>
    <row r="33" ht="2.85" customHeight="1" spans="1:46" x14ac:dyDescent="0.25">
      <c r="A33" s="2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5"/>
      <c r="V33" s="5"/>
      <c r="W33" s="5"/>
      <c r="X33" s="27"/>
      <c r="Y33" s="27"/>
      <c r="Z33" s="5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T33" s="70"/>
    </row>
    <row r="34" ht="11.25" customHeight="1" spans="1:46" x14ac:dyDescent="0.25">
      <c r="A34" s="28"/>
      <c r="B34" s="69"/>
      <c r="C34" s="27" t="s">
        <v>43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5"/>
      <c r="V34" s="5"/>
      <c r="W34" s="5"/>
      <c r="X34" s="69"/>
      <c r="Y34" s="27" t="s">
        <v>44</v>
      </c>
      <c r="Z34" s="5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T34" s="70"/>
    </row>
    <row r="35" ht="2.85" customHeight="1" spans="1:46" x14ac:dyDescent="0.25">
      <c r="A35" s="2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5"/>
      <c r="V35" s="5"/>
      <c r="W35" s="5"/>
      <c r="X35" s="27"/>
      <c r="Y35" s="27"/>
      <c r="Z35" s="5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T35" s="70"/>
    </row>
    <row r="36" ht="11.25" customHeight="1" spans="1:46" x14ac:dyDescent="0.25">
      <c r="A36" s="28"/>
      <c r="B36" s="69"/>
      <c r="C36" s="27" t="s">
        <v>45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5"/>
      <c r="V36" s="5"/>
      <c r="W36" s="5"/>
      <c r="X36" s="69"/>
      <c r="Y36" s="27" t="s">
        <v>46</v>
      </c>
      <c r="Z36" s="5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T36" s="70"/>
    </row>
    <row r="37" ht="2.85" customHeight="1" spans="1:46" x14ac:dyDescent="0.25">
      <c r="A37" s="28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5"/>
      <c r="V37" s="5"/>
      <c r="W37" s="5"/>
      <c r="X37" s="27"/>
      <c r="Y37" s="27"/>
      <c r="Z37" s="5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T37" s="70"/>
    </row>
    <row r="38" ht="11.25" customHeight="1" spans="1:46" x14ac:dyDescent="0.25">
      <c r="A38" s="28"/>
      <c r="B38" s="69"/>
      <c r="C38" s="27" t="s">
        <v>47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5"/>
      <c r="V38" s="5"/>
      <c r="W38" s="5"/>
      <c r="X38" s="69"/>
      <c r="Y38" s="27" t="s">
        <v>48</v>
      </c>
      <c r="Z38" s="5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T38" s="70"/>
    </row>
    <row r="39" ht="2.85" customHeight="1" spans="1:46" x14ac:dyDescent="0.25">
      <c r="A39" s="28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6"/>
    </row>
    <row r="40" ht="11.25" customHeight="1" spans="1:46" x14ac:dyDescent="0.25">
      <c r="A40" s="28"/>
      <c r="B40" s="69"/>
      <c r="C40" s="27" t="s">
        <v>49</v>
      </c>
      <c r="D40" s="27"/>
      <c r="E40" s="27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26"/>
    </row>
    <row r="41" ht="2.85" customHeight="1" spans="1:46" x14ac:dyDescent="0.25">
      <c r="A41" s="28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6"/>
    </row>
    <row r="42" ht="11.25" customHeight="1" spans="1:46" x14ac:dyDescent="0.25">
      <c r="A42" s="71" t="s">
        <v>50</v>
      </c>
      <c r="B42" s="38"/>
      <c r="C42" s="38"/>
      <c r="D42" s="38"/>
      <c r="E42" s="38"/>
      <c r="F42" s="44" t="s">
        <v>51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26"/>
    </row>
    <row r="43" ht="2.85" customHeight="1" spans="1:46" x14ac:dyDescent="0.25">
      <c r="A43" s="28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6"/>
    </row>
    <row r="44" ht="11.25" customHeight="1" spans="1:46" x14ac:dyDescent="0.25">
      <c r="A44" s="28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26"/>
    </row>
    <row r="45" ht="2.85" customHeight="1" spans="1:46" x14ac:dyDescent="0.25">
      <c r="A45" s="72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4"/>
    </row>
    <row r="46" ht="11.25" customHeight="1" spans="1:46" x14ac:dyDescent="0.25">
      <c r="A46" s="75" t="s">
        <v>52</v>
      </c>
      <c r="B46" s="76" t="s">
        <v>53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6"/>
      <c r="N46" s="78"/>
      <c r="O46" s="77"/>
      <c r="P46" s="77"/>
      <c r="Q46" s="79">
        <f>IFERROR(VLOOKUP(B48,Dados!$A$16:$B$21,2,0),"")</f>
      </c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21"/>
    </row>
    <row r="47" ht="2.85" customHeight="1" spans="1:46" x14ac:dyDescent="0.25">
      <c r="A47" s="5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26"/>
    </row>
    <row r="48" ht="11.25" customHeight="1" spans="1:46" x14ac:dyDescent="0.25">
      <c r="A48" s="56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27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26"/>
    </row>
    <row r="49" ht="11.25" customHeight="1" spans="1:46" x14ac:dyDescent="0.25">
      <c r="A49" s="56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27"/>
      <c r="O49" s="27"/>
      <c r="P49" s="27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26"/>
    </row>
    <row r="50" ht="2.85" customHeight="1" spans="1:46" x14ac:dyDescent="0.25">
      <c r="A50" s="72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73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73"/>
      <c r="AS50" s="82"/>
      <c r="AT50" s="74"/>
    </row>
    <row r="51" ht="11.25" customHeight="1" spans="1:46" x14ac:dyDescent="0.25">
      <c r="A51" s="18" t="s">
        <v>54</v>
      </c>
      <c r="B51" s="19" t="s">
        <v>55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83"/>
      <c r="X51" s="54" t="s">
        <v>56</v>
      </c>
      <c r="Y51" s="19" t="s">
        <v>57</v>
      </c>
      <c r="Z51" s="19"/>
      <c r="AA51" s="84"/>
      <c r="AB51" s="84"/>
      <c r="AC51" s="84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84"/>
      <c r="AS51" s="84"/>
      <c r="AT51" s="85"/>
    </row>
    <row r="52" ht="11.25" customHeight="1" spans="1:46" x14ac:dyDescent="0.25">
      <c r="A52" s="22"/>
      <c r="B52" s="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86"/>
      <c r="X52" s="87"/>
      <c r="Y52" s="6"/>
      <c r="Z52" s="6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T52" s="70"/>
    </row>
    <row r="53" ht="11.25" customHeight="1" spans="1:46" x14ac:dyDescent="0.25">
      <c r="A53" s="28"/>
      <c r="B53" s="88"/>
      <c r="C53" s="89" t="s">
        <v>58</v>
      </c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90"/>
      <c r="X53" s="27"/>
      <c r="Y53" s="69"/>
      <c r="Z53" s="91" t="s">
        <v>59</v>
      </c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70"/>
    </row>
    <row r="54" ht="11.25" customHeight="1" spans="1:46" x14ac:dyDescent="0.25">
      <c r="A54" s="28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3"/>
      <c r="X54" s="27"/>
      <c r="Y54" s="27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70"/>
    </row>
    <row r="55" ht="11.25" customHeight="1" spans="1:46" x14ac:dyDescent="0.25">
      <c r="A55" s="28"/>
      <c r="B55" s="88"/>
      <c r="C55" s="91" t="s">
        <v>60</v>
      </c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4"/>
      <c r="X55" s="27"/>
      <c r="Y55" s="69"/>
      <c r="Z55" s="91" t="s">
        <v>61</v>
      </c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70"/>
    </row>
    <row r="56" ht="11.25" customHeight="1" spans="1:46" x14ac:dyDescent="0.25">
      <c r="A56" s="28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4"/>
      <c r="X56" s="27"/>
      <c r="Y56" s="27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70"/>
    </row>
    <row r="57" ht="11.25" customHeight="1" spans="1:46" x14ac:dyDescent="0.25">
      <c r="A57" s="28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4"/>
      <c r="X57" s="38"/>
      <c r="Y57" s="69"/>
      <c r="Z57" s="91" t="s">
        <v>62</v>
      </c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70"/>
    </row>
    <row r="58" ht="11.25" customHeight="1" spans="1:46" x14ac:dyDescent="0.25">
      <c r="A58" s="28"/>
      <c r="W58" s="95"/>
      <c r="X58" s="27"/>
      <c r="Y58" s="5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70"/>
    </row>
    <row r="59" ht="11.25" customHeight="1" spans="1:46" x14ac:dyDescent="0.25">
      <c r="A59" s="28"/>
      <c r="B59" s="88"/>
      <c r="C59" s="91" t="s">
        <v>63</v>
      </c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4"/>
      <c r="X59" s="27"/>
      <c r="Y59" s="69"/>
      <c r="Z59" s="91" t="s">
        <v>64</v>
      </c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70"/>
    </row>
    <row r="60" ht="11.25" customHeight="1" spans="1:46" x14ac:dyDescent="0.25">
      <c r="A60" s="28"/>
      <c r="B60" s="27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4"/>
      <c r="X60" s="38"/>
      <c r="Y60" s="27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70"/>
    </row>
    <row r="61" ht="11.25" customHeight="1" spans="1:46" x14ac:dyDescent="0.25">
      <c r="A61" s="28"/>
      <c r="B61" s="69"/>
      <c r="C61" s="91" t="s">
        <v>65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6"/>
      <c r="X61" s="27"/>
      <c r="Y61" s="69"/>
      <c r="Z61" s="91" t="s">
        <v>66</v>
      </c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70"/>
    </row>
    <row r="62" ht="11.25" customHeight="1" spans="1:46" x14ac:dyDescent="0.25">
      <c r="A62" s="28"/>
      <c r="B62" s="38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6"/>
      <c r="X62" s="38"/>
      <c r="Y62" s="27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70"/>
    </row>
    <row r="63" ht="11.25" customHeight="1" spans="1:46" x14ac:dyDescent="0.25">
      <c r="A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96"/>
      <c r="X63" s="27"/>
      <c r="Y63" s="27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70"/>
    </row>
    <row r="64" ht="11.25" customHeight="1" spans="1:46" x14ac:dyDescent="0.25">
      <c r="A64" s="28"/>
      <c r="B64" s="69"/>
      <c r="C64" s="5" t="s">
        <v>67</v>
      </c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96"/>
      <c r="X64" s="38"/>
      <c r="Y64" s="69"/>
      <c r="Z64" s="5" t="s">
        <v>68</v>
      </c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T64" s="70"/>
    </row>
    <row r="65" ht="11.25" customHeight="1" spans="1:46" x14ac:dyDescent="0.25">
      <c r="A65" s="28"/>
      <c r="B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96"/>
      <c r="X65" s="38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T65" s="70"/>
    </row>
    <row r="66" ht="11.25" customHeight="1" spans="1:46" x14ac:dyDescent="0.25">
      <c r="A66" s="28"/>
      <c r="B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96"/>
      <c r="X66" s="38"/>
      <c r="Y66" s="69"/>
      <c r="Z66" s="5" t="s">
        <v>69</v>
      </c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T66" s="70"/>
    </row>
    <row r="67" ht="2.85" customHeight="1" spans="1:46" x14ac:dyDescent="0.25">
      <c r="A67" s="72"/>
      <c r="B67" s="73"/>
      <c r="C67" s="15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97"/>
      <c r="X67" s="98"/>
      <c r="Y67" s="73"/>
      <c r="Z67" s="82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15"/>
      <c r="AS67" s="15"/>
      <c r="AT67" s="99"/>
    </row>
    <row r="68" ht="11.25" customHeight="1" spans="1:46" x14ac:dyDescent="0.25">
      <c r="A68" s="18" t="s">
        <v>70</v>
      </c>
      <c r="B68" s="100" t="s">
        <v>71</v>
      </c>
      <c r="C68" s="53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20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20"/>
      <c r="AS68" s="53"/>
      <c r="AT68" s="21"/>
    </row>
    <row r="69" ht="2.85" customHeight="1" spans="1:46" x14ac:dyDescent="0.25">
      <c r="A69" s="22"/>
      <c r="B69" s="101"/>
      <c r="C69" s="5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27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27"/>
      <c r="AS69" s="5"/>
      <c r="AT69" s="26"/>
    </row>
    <row r="70" ht="11.25" customHeight="1" spans="1:46" x14ac:dyDescent="0.25">
      <c r="A70" s="102" t="s">
        <v>72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104"/>
    </row>
    <row r="71" ht="2.85" customHeight="1" spans="1:46" x14ac:dyDescent="0.25">
      <c r="A71" s="102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104"/>
    </row>
    <row r="72" ht="11.25" customHeight="1" spans="1:46" x14ac:dyDescent="0.25">
      <c r="A72" s="28"/>
      <c r="B72" s="105">
        <f>IF(AND(Dados!C5=0,Dados!C3&gt;=1),"X","")</f>
      </c>
      <c r="C72" s="27" t="s">
        <v>73</v>
      </c>
      <c r="D72" s="27"/>
      <c r="E72" s="27"/>
      <c r="F72" s="27"/>
      <c r="G72" s="27"/>
      <c r="H72" s="5"/>
      <c r="I72" s="5"/>
      <c r="J72" s="5"/>
      <c r="L72" s="105">
        <f>IF(AND(Dados!C3=0,Dados!C5=1),"X","")</f>
      </c>
      <c r="M72" s="27" t="s">
        <v>74</v>
      </c>
      <c r="N72" s="38"/>
      <c r="O72" s="27"/>
      <c r="P72" s="27"/>
      <c r="Q72" s="27"/>
      <c r="R72" s="27"/>
      <c r="S72" s="27"/>
      <c r="V72" s="5"/>
      <c r="W72" s="5"/>
      <c r="X72" s="105">
        <f>IF(AND(Dados!C3=0,Dados!C5=2),"X","")</f>
      </c>
      <c r="Y72" s="27" t="s">
        <v>75</v>
      </c>
      <c r="Z72" s="5"/>
      <c r="AA72" s="5"/>
      <c r="AB72" s="5"/>
      <c r="AC72" s="5"/>
      <c r="AD72" s="5"/>
      <c r="AE72" s="27"/>
      <c r="AF72" s="5"/>
      <c r="AG72" s="5"/>
      <c r="AH72" s="27"/>
      <c r="AK72" s="105">
        <f>IF(AND(Dados!C3=0,Dados!C5&gt;=3),"X","")</f>
      </c>
      <c r="AL72" s="27" t="s">
        <v>76</v>
      </c>
      <c r="AO72" s="27"/>
      <c r="AP72" s="27"/>
      <c r="AQ72" s="27"/>
      <c r="AR72" s="27"/>
      <c r="AS72" s="27"/>
      <c r="AT72" s="26"/>
    </row>
    <row r="73" ht="2.85" customHeight="1" spans="1:46" x14ac:dyDescent="0.25">
      <c r="A73" s="72"/>
      <c r="B73" s="98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98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82"/>
      <c r="AE73" s="98"/>
      <c r="AF73" s="73"/>
      <c r="AG73" s="82"/>
      <c r="AH73" s="82"/>
      <c r="AI73" s="73"/>
      <c r="AJ73" s="82"/>
      <c r="AK73" s="82"/>
      <c r="AL73" s="73"/>
      <c r="AM73" s="98"/>
      <c r="AN73" s="73"/>
      <c r="AO73" s="73"/>
      <c r="AP73" s="73"/>
      <c r="AQ73" s="73"/>
      <c r="AR73" s="73"/>
      <c r="AS73" s="73"/>
      <c r="AT73" s="74"/>
    </row>
    <row r="74" ht="2.85" customHeight="1" spans="1:46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ht="11.25" customHeight="1" spans="1:46" x14ac:dyDescent="0.25">
      <c r="A75" s="18" t="s">
        <v>77</v>
      </c>
      <c r="B75" s="19" t="s">
        <v>78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1"/>
    </row>
    <row r="76" ht="11.25" customHeight="1" spans="1:46" x14ac:dyDescent="0.25">
      <c r="A76" s="28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6"/>
    </row>
    <row r="77" ht="11.25" customHeight="1" spans="1:46" x14ac:dyDescent="0.25">
      <c r="A77" s="28"/>
      <c r="B77" s="5"/>
      <c r="C77" s="5"/>
      <c r="D77" s="5"/>
      <c r="E77" s="5"/>
      <c r="F77" s="5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6"/>
    </row>
    <row r="78" ht="11.25" customHeight="1" spans="1:46" x14ac:dyDescent="0.25">
      <c r="A78" s="28"/>
      <c r="B78" s="42">
        <f>IFERROR(VLOOKUP($B$3,Dados!K1:M9,2,),"")</f>
      </c>
      <c r="C78" s="98"/>
      <c r="D78" s="98"/>
      <c r="E78" s="98"/>
      <c r="F78" s="106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107">
        <f>IFERROR(VLOOKUP($B$3,Dados!K1:M9,3,),"")</f>
      </c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27"/>
      <c r="AQ78" s="27"/>
      <c r="AR78" s="27"/>
      <c r="AS78" s="27"/>
      <c r="AT78" s="26"/>
    </row>
    <row r="79" ht="11.25" customHeight="1" spans="1:46" x14ac:dyDescent="0.25">
      <c r="A79" s="72"/>
      <c r="B79" s="108" t="s">
        <v>79</v>
      </c>
      <c r="C79" s="108"/>
      <c r="D79" s="108"/>
      <c r="E79" s="108"/>
      <c r="F79" s="108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98" t="s">
        <v>80</v>
      </c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73"/>
      <c r="AQ79" s="73"/>
      <c r="AR79" s="73"/>
      <c r="AS79" s="73"/>
      <c r="AT79" s="74"/>
    </row>
    <row r="80" ht="2.85" customHeight="1" spans="1:46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ht="11.25" customHeight="1" spans="1:46" x14ac:dyDescent="0.25">
      <c r="A81" s="18" t="s">
        <v>81</v>
      </c>
      <c r="B81" s="100" t="s">
        <v>82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1"/>
    </row>
    <row r="82" ht="11.25" customHeight="1" spans="1:46" x14ac:dyDescent="0.25">
      <c r="A82" s="109" t="s">
        <v>83</v>
      </c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1"/>
    </row>
    <row r="83" ht="11.25" customHeight="1" spans="1:46" x14ac:dyDescent="0.25">
      <c r="A83" s="109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1"/>
    </row>
    <row r="84" ht="11.25" customHeight="1" spans="1:46" x14ac:dyDescent="0.25">
      <c r="A84" s="11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113"/>
    </row>
    <row r="85" ht="11.25" customHeight="1" spans="1:46" x14ac:dyDescent="0.25">
      <c r="A85" s="112"/>
      <c r="B85" s="2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Q85" s="114" t="s">
        <v>26</v>
      </c>
      <c r="R85" s="114"/>
      <c r="S85" s="115"/>
      <c r="T85" s="115"/>
      <c r="U85" s="116"/>
      <c r="V85" s="115"/>
      <c r="W85" s="115"/>
      <c r="X85" s="116"/>
      <c r="Y85" s="115">
        <v>2</v>
      </c>
      <c r="Z85" s="115">
        <v>0</v>
      </c>
      <c r="AA85" s="115">
        <v>2</v>
      </c>
      <c r="AB85" s="115">
        <v>5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33"/>
      <c r="AR85" s="5"/>
      <c r="AT85" s="70"/>
    </row>
    <row r="86" ht="11.25" customHeight="1" spans="1:46" x14ac:dyDescent="0.25">
      <c r="A86" s="112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5"/>
      <c r="AT86" s="113"/>
    </row>
    <row r="87" ht="11.25" customHeight="1" spans="1:46" x14ac:dyDescent="0.25">
      <c r="A87" s="112"/>
      <c r="B87" s="27"/>
      <c r="C87" s="33"/>
      <c r="D87" s="33"/>
      <c r="E87" s="33"/>
      <c r="F87" s="33"/>
      <c r="G87" s="33"/>
      <c r="H87" s="33"/>
      <c r="I87" s="33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33"/>
      <c r="AM87" s="33"/>
      <c r="AN87" s="33"/>
      <c r="AO87" s="33"/>
      <c r="AP87" s="33"/>
      <c r="AQ87" s="33"/>
      <c r="AR87" s="33"/>
      <c r="AS87" s="33"/>
      <c r="AT87" s="113"/>
    </row>
    <row r="88" ht="11.25" customHeight="1" spans="1:46" x14ac:dyDescent="0.25">
      <c r="A88" s="117" t="s">
        <v>84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118"/>
    </row>
    <row r="89" ht="11.25" customHeight="1" spans="1:46" x14ac:dyDescent="0.25">
      <c r="A89" s="119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1"/>
    </row>
    <row r="91" ht="15.75" customHeight="1" spans="1:46" x14ac:dyDescent="0.25">
      <c r="A91" s="122" t="s">
        <v>85</v>
      </c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4"/>
      <c r="AT91" s="125"/>
    </row>
    <row r="92" ht="12.75" customHeight="1" spans="1:46" x14ac:dyDescent="0.25">
      <c r="A92" s="126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T92" s="70"/>
    </row>
    <row r="93" ht="12.75" customHeight="1" spans="1:46" x14ac:dyDescent="0.25">
      <c r="A93" s="126"/>
      <c r="B93" s="128"/>
      <c r="C93" s="129" t="s">
        <v>86</v>
      </c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70"/>
    </row>
    <row r="94" ht="12.75" customHeight="1" spans="1:46" x14ac:dyDescent="0.25">
      <c r="A94" s="126"/>
      <c r="B94" s="127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70"/>
    </row>
    <row r="95" ht="12.75" customHeight="1" spans="1:46" x14ac:dyDescent="0.25">
      <c r="A95" s="126"/>
      <c r="B95" s="127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27"/>
      <c r="AT95" s="70"/>
    </row>
    <row r="96" ht="12.75" customHeight="1" spans="1:46" x14ac:dyDescent="0.25">
      <c r="A96" s="126"/>
      <c r="B96" s="127"/>
      <c r="C96" s="131" t="s">
        <v>87</v>
      </c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70"/>
    </row>
    <row r="97" ht="12.75" customHeight="1" spans="1:46" x14ac:dyDescent="0.25">
      <c r="A97" s="126"/>
      <c r="B97" s="127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70"/>
    </row>
    <row r="98" ht="12.75" customHeight="1" spans="1:46" x14ac:dyDescent="0.25">
      <c r="A98" s="126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T98" s="70"/>
    </row>
    <row r="99" ht="12.75" customHeight="1" spans="1:46" x14ac:dyDescent="0.25">
      <c r="A99" s="126"/>
      <c r="B99" s="128"/>
      <c r="C99" s="131" t="s">
        <v>88</v>
      </c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70"/>
    </row>
    <row r="100" ht="12.75" customHeight="1" spans="1:46" x14ac:dyDescent="0.25">
      <c r="A100" s="126"/>
      <c r="B100" s="127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70"/>
    </row>
    <row r="101" ht="5.85" customHeight="1" spans="1:46" x14ac:dyDescent="0.25">
      <c r="A101" s="126"/>
      <c r="B101" s="127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27"/>
      <c r="AT101" s="70"/>
    </row>
    <row r="102" ht="12.75" customHeight="1" spans="1:46" x14ac:dyDescent="0.25">
      <c r="A102" s="126"/>
      <c r="B102" s="128"/>
      <c r="C102" s="127" t="s">
        <v>89</v>
      </c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T102" s="70"/>
    </row>
    <row r="103" ht="5.85" customHeight="1" spans="1:46" x14ac:dyDescent="0.25">
      <c r="A103" s="126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T103" s="70"/>
    </row>
    <row r="104" ht="12.75" customHeight="1" spans="1:46" x14ac:dyDescent="0.25">
      <c r="A104" s="126"/>
      <c r="B104" s="128"/>
      <c r="C104" s="127" t="s">
        <v>90</v>
      </c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T104" s="70"/>
    </row>
    <row r="105" ht="5.85" customHeight="1" spans="1:46" x14ac:dyDescent="0.25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T105" s="70"/>
    </row>
    <row r="106" ht="12.75" customHeight="1" spans="1:46" x14ac:dyDescent="0.25">
      <c r="A106" s="126"/>
      <c r="B106" s="128"/>
      <c r="C106" s="127" t="s">
        <v>91</v>
      </c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T106" s="70"/>
    </row>
    <row r="107" ht="5.85" customHeight="1" spans="1:46" x14ac:dyDescent="0.25">
      <c r="A107" s="126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T107" s="70"/>
    </row>
    <row r="108" ht="12.75" customHeight="1" spans="1:46" x14ac:dyDescent="0.25">
      <c r="A108" s="126"/>
      <c r="B108" s="128"/>
      <c r="C108" s="127" t="s">
        <v>92</v>
      </c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T108" s="70"/>
    </row>
    <row r="109" ht="5.85" customHeight="1" spans="1:46" x14ac:dyDescent="0.25">
      <c r="A109" s="126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T109" s="70"/>
    </row>
    <row r="110" ht="12.75" customHeight="1" spans="1:46" x14ac:dyDescent="0.25">
      <c r="A110" s="126"/>
      <c r="B110" s="128"/>
      <c r="C110" s="131" t="s">
        <v>93</v>
      </c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27"/>
      <c r="AT110" s="70"/>
    </row>
    <row r="111" ht="12.75" customHeight="1" spans="1:46" x14ac:dyDescent="0.25">
      <c r="A111" s="126"/>
      <c r="B111" s="132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27"/>
      <c r="AT111" s="70"/>
    </row>
    <row r="112" ht="5.85" customHeight="1" spans="1:46" x14ac:dyDescent="0.25">
      <c r="A112" s="126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T112" s="70"/>
    </row>
    <row r="113" ht="12.75" customHeight="1" spans="1:46" x14ac:dyDescent="0.25">
      <c r="A113" s="126"/>
      <c r="B113" s="128"/>
      <c r="C113" s="133" t="s">
        <v>94</v>
      </c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T113" s="70"/>
    </row>
    <row r="114" ht="12.75" customHeight="1" spans="1:46" x14ac:dyDescent="0.25">
      <c r="A114" s="126"/>
      <c r="B114" s="132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T114" s="70"/>
    </row>
    <row r="115" ht="12.75" customHeight="1" spans="1:46" x14ac:dyDescent="0.25">
      <c r="A115" s="126"/>
      <c r="B115" s="132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T115" s="70"/>
    </row>
    <row r="116" ht="5.85" customHeight="1" spans="1:46" x14ac:dyDescent="0.25">
      <c r="A116" s="126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T116" s="70"/>
    </row>
    <row r="117" ht="12.75" customHeight="1" spans="1:46" x14ac:dyDescent="0.25">
      <c r="A117" s="126"/>
      <c r="B117" s="128"/>
      <c r="C117" s="127" t="s">
        <v>95</v>
      </c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T117" s="70"/>
    </row>
    <row r="118" ht="11.25" customHeight="1" spans="1:46" x14ac:dyDescent="0.25">
      <c r="A118" s="126"/>
      <c r="B118" s="132"/>
      <c r="C118" s="127"/>
      <c r="D118" s="127"/>
      <c r="E118" s="127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  <c r="AO118" s="134"/>
      <c r="AP118" s="134"/>
      <c r="AQ118" s="134"/>
      <c r="AR118" s="134"/>
      <c r="AS118" s="84"/>
      <c r="AT118" s="70"/>
    </row>
    <row r="119" ht="11.25" customHeight="1" spans="1:46" x14ac:dyDescent="0.25">
      <c r="A119" s="126"/>
      <c r="B119" s="127"/>
      <c r="C119" s="127"/>
      <c r="D119" s="127"/>
      <c r="E119" s="127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5"/>
      <c r="AT119" s="70"/>
    </row>
    <row r="120" ht="12.75" customHeight="1" spans="1:46" x14ac:dyDescent="0.25">
      <c r="A120" s="126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T120" s="70"/>
    </row>
    <row r="121" ht="12.75" customHeight="1" spans="1:46" x14ac:dyDescent="0.25">
      <c r="A121" s="126"/>
      <c r="B121" s="127"/>
      <c r="C121" s="136" t="s">
        <v>96</v>
      </c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70"/>
    </row>
    <row r="122" ht="12.75" customHeight="1" spans="1:46" x14ac:dyDescent="0.25">
      <c r="A122" s="126"/>
      <c r="B122" s="127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70"/>
    </row>
    <row r="123" ht="12.75" customHeight="1" spans="1:46" x14ac:dyDescent="0.25">
      <c r="A123" s="126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T123" s="70"/>
    </row>
    <row r="124" ht="12.75" customHeight="1" spans="1:46" x14ac:dyDescent="0.25">
      <c r="A124" s="137" t="s">
        <v>97</v>
      </c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38"/>
      <c r="AN124" s="138"/>
      <c r="AO124" s="138"/>
      <c r="AP124" s="138"/>
      <c r="AQ124" s="138"/>
      <c r="AR124" s="138"/>
      <c r="AS124" s="139"/>
      <c r="AT124" s="140"/>
    </row>
    <row r="125" ht="12.75" customHeight="1" spans="1:46" x14ac:dyDescent="0.25">
      <c r="A125" s="126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T125" s="70"/>
    </row>
    <row r="126" ht="12.75" customHeight="1" spans="1:46" x14ac:dyDescent="0.25">
      <c r="A126" s="126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T126" s="70"/>
    </row>
    <row r="127" ht="12.75" customHeight="1" spans="1:46" x14ac:dyDescent="0.25">
      <c r="A127" s="126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T127" s="70"/>
    </row>
    <row r="128" ht="12.75" customHeight="1" spans="1:46" x14ac:dyDescent="0.25">
      <c r="A128" s="126"/>
      <c r="B128" s="141" t="s">
        <v>98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27"/>
      <c r="O128" s="127"/>
      <c r="Q128" s="141" t="s">
        <v>99</v>
      </c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27"/>
      <c r="AH128" s="141" t="s">
        <v>99</v>
      </c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70"/>
    </row>
    <row r="129" ht="12.75" customHeight="1" spans="1:46" x14ac:dyDescent="0.25">
      <c r="A129" s="126"/>
      <c r="B129" s="142"/>
      <c r="C129" s="142"/>
      <c r="D129" s="142"/>
      <c r="E129" s="143">
        <f>IFERROR(VLOOKUP($B$3,Dados!K1:M9,2,),"")</f>
      </c>
      <c r="F129" s="144"/>
      <c r="G129" s="144"/>
      <c r="H129" s="144"/>
      <c r="I129" s="144"/>
      <c r="J129" s="145"/>
      <c r="K129" s="127"/>
      <c r="L129" s="127"/>
      <c r="M129" s="127"/>
      <c r="N129" s="127"/>
      <c r="O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70"/>
    </row>
    <row r="130" ht="12.75" customHeight="1" spans="1:46" x14ac:dyDescent="0.25">
      <c r="A130" s="126"/>
      <c r="B130" s="142"/>
      <c r="C130" s="142"/>
      <c r="D130" s="142"/>
      <c r="E130" s="146" t="s">
        <v>79</v>
      </c>
      <c r="F130" s="146"/>
      <c r="G130" s="146"/>
      <c r="H130" s="146"/>
      <c r="I130" s="146"/>
      <c r="J130" s="146"/>
      <c r="K130" s="127"/>
      <c r="L130" s="127"/>
      <c r="M130" s="127"/>
      <c r="N130" s="127"/>
      <c r="O130" s="127"/>
      <c r="Q130" s="134" t="s">
        <v>100</v>
      </c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27"/>
      <c r="AH130" s="134" t="s">
        <v>100</v>
      </c>
      <c r="AI130" s="134"/>
      <c r="AJ130" s="134"/>
      <c r="AK130" s="134"/>
      <c r="AL130" s="134"/>
      <c r="AM130" s="134"/>
      <c r="AN130" s="134"/>
      <c r="AO130" s="134"/>
      <c r="AP130" s="134"/>
      <c r="AQ130" s="134"/>
      <c r="AR130" s="134"/>
      <c r="AS130" s="134"/>
      <c r="AT130" s="70"/>
    </row>
    <row r="131" ht="12.75" customHeight="1" spans="1:46" x14ac:dyDescent="0.25">
      <c r="A131" s="147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5"/>
      <c r="AT131" s="99"/>
    </row>
  </sheetData>
  <sheetProtection selectLockedCells="1"/>
  <mergeCells count="56">
    <mergeCell ref="B3:D3"/>
    <mergeCell ref="F3:I3"/>
    <mergeCell ref="B6:AS6"/>
    <mergeCell ref="B8:AS8"/>
    <mergeCell ref="B11:M11"/>
    <mergeCell ref="AH11:AS11"/>
    <mergeCell ref="B15:C15"/>
    <mergeCell ref="D15:AH15"/>
    <mergeCell ref="AL15:AS15"/>
    <mergeCell ref="B17:D17"/>
    <mergeCell ref="E17:J17"/>
    <mergeCell ref="K17:M17"/>
    <mergeCell ref="N17:AH17"/>
    <mergeCell ref="AL17:AS17"/>
    <mergeCell ref="B21:G21"/>
    <mergeCell ref="S21:V21"/>
    <mergeCell ref="AE21:AN21"/>
    <mergeCell ref="AP21:AS21"/>
    <mergeCell ref="B24:C24"/>
    <mergeCell ref="D24:AS24"/>
    <mergeCell ref="B26:D26"/>
    <mergeCell ref="E26:J26"/>
    <mergeCell ref="K26:M26"/>
    <mergeCell ref="N26:AH26"/>
    <mergeCell ref="AL26:AS26"/>
    <mergeCell ref="F40:AS40"/>
    <mergeCell ref="A42:E42"/>
    <mergeCell ref="F42:AS42"/>
    <mergeCell ref="B44:AS44"/>
    <mergeCell ref="Q46:AS49"/>
    <mergeCell ref="B48:O48"/>
    <mergeCell ref="Z53:AS54"/>
    <mergeCell ref="C55:W57"/>
    <mergeCell ref="Z55:AS56"/>
    <mergeCell ref="Z57:AS58"/>
    <mergeCell ref="C59:W60"/>
    <mergeCell ref="Z59:AS60"/>
    <mergeCell ref="C61:V62"/>
    <mergeCell ref="Z61:AS63"/>
    <mergeCell ref="B78:F78"/>
    <mergeCell ref="T78:AO78"/>
    <mergeCell ref="B79:F79"/>
    <mergeCell ref="T79:AO79"/>
    <mergeCell ref="A82:AT83"/>
    <mergeCell ref="Q85:R85"/>
    <mergeCell ref="C93:AS94"/>
    <mergeCell ref="C96:AS97"/>
    <mergeCell ref="C99:AS100"/>
    <mergeCell ref="C110:AQ111"/>
    <mergeCell ref="C113:AR115"/>
    <mergeCell ref="C121:AS122"/>
    <mergeCell ref="B128:M128"/>
    <mergeCell ref="Q128:AD128"/>
    <mergeCell ref="AH128:AS128"/>
    <mergeCell ref="E129:J129"/>
    <mergeCell ref="E130:J130"/>
  </mergeCells>
  <conditionalFormatting sqref="A51:AT73">
    <cfRule type="expression" dxfId="0" priority="4">
      <formula>COUNTIF($B$72:$AK$72,"X")=0</formula>
    </cfRule>
  </conditionalFormatting>
  <conditionalFormatting sqref="B3:D3 F3:I3 B6:AS6 D15 AL15:AS15 E17:J17 N17:AH17 AL17:AS17 Q46:AS49 B48:O48 B78:F78 T78:AO78 E129:J129">
    <cfRule type="containsBlanks" dxfId="1" priority="12" operator="containsBlanks">
      <formula>LEN(TRIM(B3))=0</formula>
    </cfRule>
  </conditionalFormatting>
  <conditionalFormatting sqref="B21:G21 S21 AE21:AN21 AP21:AS21 D24:AS24 E26 N26:AH26 AL26:AS26">
    <cfRule type="containsBlanks" dxfId="2" priority="8" operator="containsBlanks">
      <formula>LEN(TRIM(B21))=0</formula>
    </cfRule>
  </conditionalFormatting>
  <conditionalFormatting sqref="B11:M11 AH11:AS11">
    <cfRule type="expression" dxfId="3" priority="1">
      <formula>$B$11=$AH$11</formula>
    </cfRule>
  </conditionalFormatting>
  <conditionalFormatting sqref="B30:U30 X30:AS30 B32:U32 X32:AS32 B34:U34 X34:AS34 B36:U36 X36:AS36 B38:U38 X38:AS38 B40:AS40">
    <cfRule type="expression" dxfId="4" priority="6">
      <formula>COUNTIF($B$30:$AS$40,"X")=0</formula>
    </cfRule>
  </conditionalFormatting>
  <conditionalFormatting sqref="B8:AS8">
    <cfRule type="containsBlanks" dxfId="5" priority="2" operator="containsBlanks">
      <formula>LEN(TRIM(B8))=0</formula>
    </cfRule>
  </conditionalFormatting>
  <dataValidations count="10">
    <dataValidation type="list" allowBlank="1" showInputMessage="1" sqref="AA8:AS8">
      <formula1>"N/A"</formula1>
    </dataValidation>
    <dataValidation showInputMessage="1" prompt="IV - Gravíssimas, aquelas em que sejam verificadas a existência de três ou mais circunstância agravantes ou a reincidência." showErrorMessage="1" sqref="AK72"/>
    <dataValidation showInputMessage="1" prompt="I - Leves, aquelas em que o infrator seja beneficiado por circunstâncias atenuantes;" showErrorMessage="1" sqref="B72"/>
    <dataValidation type="list" allowBlank="1" showInputMessage="1" sqref="B8:AS8">
      <formula1>"N/A"</formula1>
    </dataValidation>
    <dataValidation showInputMessage="1" sqref="E17:J17"/>
    <dataValidation showInputMessage="1" sqref="E26:J26"/>
    <dataValidation type="whole" operator="greaterThanOrEqual" allowBlank="1" showInputMessage="1" showErrorMessage="1" errorTitle="Opa!!" error="Digíte somente números!!" sqref="F3">
      <formula1>1</formula1>
    </dataValidation>
    <dataValidation showInputMessage="1" prompt="II - Graves, aquelas em que for verificada uma circunstância agravante;" showErrorMessage="1" sqref="L72"/>
    <dataValidation type="list" allowBlank="1" showInputMessage="1" showErrorMessage="1" sqref="S21:V21">
      <formula1>"SIM,NÃO"</formula1>
    </dataValidation>
    <dataValidation showInputMessage="1" prompt="III - Muito Graves, aquelas em que forem verificadas duas circunstâncias agravantes;" showErrorMessage="1" sqref="X72"/>
  </dataValidations>
  <pageMargins left="0.5118110236220472" right="0.5118110236220472" top="0.7874015748031497" bottom="0.7874015748031497" header="0.31496062992125984" footer="0.31496062992125984"/>
  <pageSetup paperSize="9" orientation="portrait" horizontalDpi="4294967295" verticalDpi="4294967295" scale="93" fitToWidth="1" fitToHeight="0" firstPageNumber="1" useFirstPageNumber="1" copies="1"/>
  <headerFooter differentFirst="1">
    <oddHeader>&amp;L&amp;G&amp;R&amp;8&amp;D - &amp;T  &amp;G</oddHeader>
    <oddFooter>&amp;CRua Firmino Pires, nº 379, Sala 324, Centro, Teresina-PI. Telefone e Whatsapp: (86) 99402-3074.&amp;R&amp;9</oddFooter>
    <firstHeader>&amp;L&amp;G&amp;R&amp;G</firstHeader>
    <firstFooter>&amp;CRua Firmino Pires, nº 379, Sala 324, Centro, Teresina-PI. Telefone e Whatsapp: (86) 99402-3074.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 zoomScale="100" zoomScaleNormal="100">
      <selection activeCell="A16" sqref="A16"/>
    </sheetView>
  </sheetViews>
  <sheetFormatPr defaultRowHeight="15" outlineLevelRow="0" outlineLevelCol="0" x14ac:dyDescent="0.25" defaultColWidth="9.140625"/>
  <cols>
    <col min="1" max="1" width="33.85546875" style="148" customWidth="1"/>
    <col min="2" max="12" width="9.140625" style="148" customWidth="1"/>
    <col min="13" max="13" width="37.5703125" style="148" customWidth="1"/>
    <col min="14" max="16384" width="9.140625" style="148" customWidth="1"/>
  </cols>
  <sheetData>
    <row r="1" spans="11:13" x14ac:dyDescent="0.25">
      <c r="K1" s="149" t="s">
        <v>101</v>
      </c>
      <c r="L1" s="149" t="s">
        <v>102</v>
      </c>
      <c r="M1" s="149" t="s">
        <v>103</v>
      </c>
    </row>
    <row r="2" spans="3:13" x14ac:dyDescent="0.25">
      <c r="C2" s="150" t="s">
        <v>104</v>
      </c>
      <c r="D2" s="150"/>
      <c r="E2" s="150"/>
      <c r="F2" s="150"/>
      <c r="G2" s="150"/>
      <c r="H2" s="150"/>
      <c r="K2" s="151" t="s">
        <v>105</v>
      </c>
      <c r="L2" s="151">
        <v>113843</v>
      </c>
      <c r="M2" s="151" t="s">
        <v>106</v>
      </c>
    </row>
    <row r="3" spans="3:13" x14ac:dyDescent="0.25">
      <c r="C3" s="150">
        <f>COUNTIF('Auto de Infração'!B53:B64,"X")</f>
        <v>0</v>
      </c>
      <c r="D3" s="150"/>
      <c r="E3" s="150"/>
      <c r="F3" s="150"/>
      <c r="G3" s="150"/>
      <c r="H3" s="150"/>
      <c r="J3" s="152"/>
      <c r="K3" s="151" t="s">
        <v>107</v>
      </c>
      <c r="L3" s="151">
        <v>15133</v>
      </c>
      <c r="M3" s="151" t="s">
        <v>108</v>
      </c>
    </row>
    <row r="4" ht="15.75" customHeight="1" spans="3:13" x14ac:dyDescent="0.25">
      <c r="C4" s="150" t="s">
        <v>109</v>
      </c>
      <c r="D4" s="150"/>
      <c r="E4" s="150"/>
      <c r="F4" s="150"/>
      <c r="G4" s="150"/>
      <c r="H4" s="150"/>
      <c r="J4" s="152"/>
      <c r="K4" s="151" t="s">
        <v>110</v>
      </c>
      <c r="L4" s="151" t="s">
        <v>111</v>
      </c>
      <c r="M4" s="151" t="s">
        <v>112</v>
      </c>
    </row>
    <row r="5" spans="3:13" x14ac:dyDescent="0.25">
      <c r="C5" s="150">
        <f>COUNTIF('Auto de Infração'!Y53:Y66,"X")</f>
        <v>0</v>
      </c>
      <c r="D5" s="150"/>
      <c r="E5" s="150"/>
      <c r="F5" s="150"/>
      <c r="G5" s="150"/>
      <c r="H5" s="150"/>
      <c r="K5" s="151" t="s">
        <v>113</v>
      </c>
      <c r="L5" s="151">
        <v>126101</v>
      </c>
      <c r="M5" s="151" t="s">
        <v>114</v>
      </c>
    </row>
    <row r="6" spans="11:13" x14ac:dyDescent="0.25">
      <c r="K6" s="151"/>
      <c r="L6" s="151"/>
      <c r="M6" s="151"/>
    </row>
    <row r="7" spans="3:13" x14ac:dyDescent="0.25">
      <c r="C7" s="153" t="s">
        <v>115</v>
      </c>
      <c r="D7" s="153" t="s">
        <v>22</v>
      </c>
      <c r="F7" s="153"/>
      <c r="K7" s="151"/>
      <c r="L7" s="151"/>
      <c r="M7" s="151"/>
    </row>
    <row r="8" spans="3:13" x14ac:dyDescent="0.25">
      <c r="C8" s="154" t="s">
        <v>36</v>
      </c>
      <c r="D8" s="154" t="s">
        <v>29</v>
      </c>
      <c r="F8" s="148" t="s">
        <v>116</v>
      </c>
      <c r="K8" s="151"/>
      <c r="L8" s="151"/>
      <c r="M8" s="151"/>
    </row>
    <row r="9" spans="3:13" x14ac:dyDescent="0.25">
      <c r="C9" s="154" t="s">
        <v>117</v>
      </c>
      <c r="D9" s="154" t="s">
        <v>118</v>
      </c>
      <c r="F9" s="148" t="s">
        <v>119</v>
      </c>
      <c r="K9" s="151"/>
      <c r="L9" s="151"/>
      <c r="M9" s="151"/>
    </row>
    <row r="10" spans="3:3" x14ac:dyDescent="0.25">
      <c r="C10" s="154" t="s">
        <v>120</v>
      </c>
    </row>
    <row r="11" spans="3:3" x14ac:dyDescent="0.25">
      <c r="C11" s="154" t="s">
        <v>121</v>
      </c>
    </row>
    <row r="12" spans="3:3" x14ac:dyDescent="0.25">
      <c r="C12" s="154" t="s">
        <v>122</v>
      </c>
    </row>
    <row r="13" spans="3:3" x14ac:dyDescent="0.25">
      <c r="C13" s="154" t="s">
        <v>123</v>
      </c>
    </row>
    <row r="14" spans="3:3" x14ac:dyDescent="0.25">
      <c r="C14" s="154" t="s">
        <v>124</v>
      </c>
    </row>
    <row r="16" spans="1:2" x14ac:dyDescent="0.25">
      <c r="A16" s="154" t="s">
        <v>125</v>
      </c>
      <c r="B16" s="154" t="s">
        <v>126</v>
      </c>
    </row>
    <row r="17" spans="1:2" x14ac:dyDescent="0.25">
      <c r="A17" s="154" t="s">
        <v>127</v>
      </c>
      <c r="B17" s="154" t="s">
        <v>128</v>
      </c>
    </row>
    <row r="18" spans="1:2" x14ac:dyDescent="0.25">
      <c r="A18" s="154" t="s">
        <v>129</v>
      </c>
      <c r="B18" s="154" t="s">
        <v>130</v>
      </c>
    </row>
    <row r="19" spans="1:2" x14ac:dyDescent="0.25">
      <c r="A19" s="154" t="s">
        <v>131</v>
      </c>
      <c r="B19" s="155" t="s">
        <v>132</v>
      </c>
    </row>
    <row r="20" spans="1:2" x14ac:dyDescent="0.25">
      <c r="A20" s="154" t="s">
        <v>133</v>
      </c>
      <c r="B20" s="155" t="s">
        <v>134</v>
      </c>
    </row>
    <row r="21" spans="1:2" x14ac:dyDescent="0.25">
      <c r="A21" s="154" t="s">
        <v>135</v>
      </c>
      <c r="B21" s="155" t="s">
        <v>136</v>
      </c>
    </row>
    <row r="23" spans="2:5" x14ac:dyDescent="0.25">
      <c r="B23" s="156" t="s">
        <v>137</v>
      </c>
      <c r="C23" s="156" t="s">
        <v>138</v>
      </c>
      <c r="D23" s="156" t="s">
        <v>139</v>
      </c>
      <c r="E23" s="156" t="s">
        <v>140</v>
      </c>
    </row>
    <row r="24" spans="2:5" x14ac:dyDescent="0.25">
      <c r="B24" s="157">
        <v>1</v>
      </c>
      <c r="C24" s="157" t="s">
        <v>141</v>
      </c>
      <c r="D24" s="156" t="s">
        <v>122</v>
      </c>
      <c r="E24" s="156" t="s">
        <v>142</v>
      </c>
    </row>
    <row r="25" spans="2:5" x14ac:dyDescent="0.25">
      <c r="B25" s="157">
        <v>2</v>
      </c>
      <c r="C25" s="157" t="s">
        <v>143</v>
      </c>
      <c r="D25" s="156" t="s">
        <v>122</v>
      </c>
      <c r="E25" s="156" t="s">
        <v>144</v>
      </c>
    </row>
    <row r="26" spans="2:5" x14ac:dyDescent="0.25">
      <c r="B26" s="157">
        <v>3</v>
      </c>
      <c r="C26" s="157" t="s">
        <v>145</v>
      </c>
      <c r="D26" s="156" t="s">
        <v>122</v>
      </c>
      <c r="E26" s="156" t="s">
        <v>146</v>
      </c>
    </row>
    <row r="27" spans="2:5" x14ac:dyDescent="0.25">
      <c r="B27" s="157">
        <v>4</v>
      </c>
      <c r="C27" s="157" t="s">
        <v>147</v>
      </c>
      <c r="D27" s="156" t="s">
        <v>117</v>
      </c>
      <c r="E27" s="156" t="s">
        <v>148</v>
      </c>
    </row>
    <row r="28" spans="2:5" x14ac:dyDescent="0.25">
      <c r="B28" s="157">
        <v>5</v>
      </c>
      <c r="C28" s="157" t="s">
        <v>149</v>
      </c>
      <c r="D28" s="156" t="s">
        <v>117</v>
      </c>
      <c r="E28" s="156" t="s">
        <v>150</v>
      </c>
    </row>
    <row r="29" spans="2:5" x14ac:dyDescent="0.25">
      <c r="B29" s="157">
        <v>6</v>
      </c>
      <c r="C29" s="157" t="s">
        <v>151</v>
      </c>
      <c r="D29" s="156" t="s">
        <v>117</v>
      </c>
      <c r="E29" s="156" t="s">
        <v>152</v>
      </c>
    </row>
    <row r="30" spans="2:5" x14ac:dyDescent="0.25">
      <c r="B30" s="157">
        <v>7</v>
      </c>
      <c r="C30" s="157" t="s">
        <v>153</v>
      </c>
      <c r="D30" s="156" t="s">
        <v>117</v>
      </c>
      <c r="E30" s="156" t="s">
        <v>154</v>
      </c>
    </row>
    <row r="31" spans="2:5" x14ac:dyDescent="0.25">
      <c r="B31" s="157">
        <v>8</v>
      </c>
      <c r="C31" s="157" t="s">
        <v>155</v>
      </c>
      <c r="D31" s="156" t="s">
        <v>117</v>
      </c>
      <c r="E31" s="156" t="s">
        <v>156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de Infração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Almeida</dc:creator>
  <cp:lastModifiedBy>usimport CFTV</cp:lastModifiedBy>
  <cp:lastPrinted>2025-01-09T13:36:36Z</cp:lastPrinted>
  <dcterms:created xsi:type="dcterms:W3CDTF">2022-09-29T13:50:07Z</dcterms:created>
  <dcterms:modified xsi:type="dcterms:W3CDTF">2025-08-27T18:18:11Z</dcterms:modified>
</cp:coreProperties>
</file>